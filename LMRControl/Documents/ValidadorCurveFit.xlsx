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ropbox\Projetos - Loccus\ELISA\Leitora\LRM96Control\Documents\"/>
    </mc:Choice>
  </mc:AlternateContent>
  <bookViews>
    <workbookView xWindow="0" yWindow="0" windowWidth="28800" windowHeight="12435" activeTab="1"/>
  </bookViews>
  <sheets>
    <sheet name="Linear" sheetId="1" r:id="rId1"/>
    <sheet name="Plan1" sheetId="3" r:id="rId2"/>
    <sheet name="Lin-Log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3" l="1"/>
  <c r="E20" i="3"/>
  <c r="C21" i="3"/>
  <c r="C20" i="3"/>
  <c r="D17" i="3" l="1"/>
  <c r="G10" i="3"/>
  <c r="G8" i="3"/>
  <c r="G7" i="3"/>
  <c r="G6" i="3"/>
  <c r="E8" i="3"/>
  <c r="E10" i="3" s="1"/>
  <c r="E7" i="3"/>
  <c r="E6" i="3"/>
  <c r="D10" i="3"/>
  <c r="D13" i="3" s="1"/>
  <c r="C10" i="3"/>
  <c r="D15" i="3" l="1"/>
</calcChain>
</file>

<file path=xl/sharedStrings.xml><?xml version="1.0" encoding="utf-8"?>
<sst xmlns="http://schemas.openxmlformats.org/spreadsheetml/2006/main" count="19" uniqueCount="14">
  <si>
    <t>ABS</t>
  </si>
  <si>
    <t>Concentração</t>
  </si>
  <si>
    <t>X</t>
  </si>
  <si>
    <t>Y</t>
  </si>
  <si>
    <t>S</t>
  </si>
  <si>
    <t>X^2</t>
  </si>
  <si>
    <t>X * Y</t>
  </si>
  <si>
    <t xml:space="preserve">A= </t>
  </si>
  <si>
    <t>A=</t>
  </si>
  <si>
    <t>Sistema Linear</t>
  </si>
  <si>
    <t>a</t>
  </si>
  <si>
    <t>b</t>
  </si>
  <si>
    <t xml:space="preserve">Resposta: ax + b = y; b-&gt;0; </t>
  </si>
  <si>
    <r>
      <t xml:space="preserve">a = 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</rPr>
      <t xml:space="preserve">xi*yi / </t>
    </r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</rPr>
      <t xml:space="preserve">xi^2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</si>
</sst>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Concentração</a:t>
            </a:r>
            <a:r>
              <a:rPr lang="pt-BR" baseline="0"/>
              <a:t> x ABS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2940441447252182E-2"/>
          <c:y val="0.12740066586220433"/>
          <c:w val="0.95729205382173943"/>
          <c:h val="0.8175156699746863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Linear!$A$6:$A$8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Linear!$B$6:$B$8</c:f>
              <c:numCache>
                <c:formatCode>General</c:formatCode>
                <c:ptCount val="3"/>
                <c:pt idx="0">
                  <c:v>0.28999999999999998</c:v>
                </c:pt>
                <c:pt idx="1">
                  <c:v>0.51600000000000001</c:v>
                </c:pt>
                <c:pt idx="2">
                  <c:v>1.083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20144"/>
        <c:axId val="309319752"/>
      </c:scatterChart>
      <c:valAx>
        <c:axId val="309320144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319752"/>
        <c:crosses val="autoZero"/>
        <c:crossBetween val="midCat"/>
      </c:valAx>
      <c:valAx>
        <c:axId val="30931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32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Concentração</a:t>
            </a:r>
            <a:r>
              <a:rPr lang="pt-BR" baseline="0"/>
              <a:t> x ABS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2"/>
            <c:backward val="2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'Lin-Log'!$A$6:$A$8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'Lin-Log'!$B$6:$B$8</c:f>
              <c:numCache>
                <c:formatCode>General</c:formatCode>
                <c:ptCount val="3"/>
                <c:pt idx="0">
                  <c:v>0.28999999999999998</c:v>
                </c:pt>
                <c:pt idx="1">
                  <c:v>0.51600000000000001</c:v>
                </c:pt>
                <c:pt idx="2">
                  <c:v>1.083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881648"/>
        <c:axId val="308881256"/>
      </c:scatterChart>
      <c:valAx>
        <c:axId val="30888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8881256"/>
        <c:crosses val="autoZero"/>
        <c:crossBetween val="midCat"/>
      </c:valAx>
      <c:valAx>
        <c:axId val="30888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888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428624</xdr:colOff>
      <xdr:row>5</xdr:row>
      <xdr:rowOff>33336</xdr:rowOff>
    </xdr:from>
    <xdr:to>
      <xdr:col>21</xdr:col>
      <xdr:colOff>590549</xdr:colOff>
      <xdr:row>27</xdr:row>
      <xdr:rowOff>38099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1</xdr:row>
      <xdr:rowOff>33337</xdr:rowOff>
    </xdr:from>
    <xdr:to>
      <xdr:col>9</xdr:col>
      <xdr:colOff>581025</xdr:colOff>
      <xdr:row>15</xdr:row>
      <xdr:rowOff>109537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8"/>
  <sheetViews>
    <sheetView workbookViewId="0">
      <selection activeCell="D28" sqref="D28"/>
    </sheetView>
  </sheetViews>
  <sheetFormatPr defaultRowHeight="15" x14ac:dyDescent="0.25"/>
  <cols>
    <col min="1" max="1" width="13" customWidth="1"/>
    <col min="2" max="2" width="11.42578125" customWidth="1"/>
  </cols>
  <sheetData>
    <row r="4" spans="1:2" x14ac:dyDescent="0.25">
      <c r="A4" t="s">
        <v>1</v>
      </c>
      <c r="B4" t="s">
        <v>0</v>
      </c>
    </row>
    <row r="5" spans="1:2" x14ac:dyDescent="0.25">
      <c r="A5">
        <v>0</v>
      </c>
      <c r="B5">
        <v>0</v>
      </c>
    </row>
    <row r="6" spans="1:2" x14ac:dyDescent="0.25">
      <c r="A6">
        <v>1</v>
      </c>
      <c r="B6">
        <v>0.28999999999999998</v>
      </c>
    </row>
    <row r="7" spans="1:2" x14ac:dyDescent="0.25">
      <c r="A7">
        <v>2</v>
      </c>
      <c r="B7">
        <v>0.51600000000000001</v>
      </c>
    </row>
    <row r="8" spans="1:2" x14ac:dyDescent="0.25">
      <c r="A8">
        <v>3</v>
      </c>
      <c r="B8">
        <v>1.083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26"/>
  <sheetViews>
    <sheetView tabSelected="1" workbookViewId="0">
      <selection activeCell="H24" sqref="H24"/>
    </sheetView>
  </sheetViews>
  <sheetFormatPr defaultRowHeight="15" x14ac:dyDescent="0.25"/>
  <cols>
    <col min="3" max="3" width="13" style="1" customWidth="1"/>
    <col min="4" max="4" width="11.42578125" style="1" customWidth="1"/>
  </cols>
  <sheetData>
    <row r="4" spans="2:11" x14ac:dyDescent="0.25">
      <c r="C4" s="1" t="s">
        <v>1</v>
      </c>
      <c r="D4" s="1" t="s">
        <v>0</v>
      </c>
    </row>
    <row r="5" spans="2:11" x14ac:dyDescent="0.25">
      <c r="C5" s="1" t="s">
        <v>2</v>
      </c>
      <c r="D5" s="1" t="s">
        <v>3</v>
      </c>
      <c r="E5" t="s">
        <v>5</v>
      </c>
      <c r="G5" t="s">
        <v>6</v>
      </c>
      <c r="I5" t="s">
        <v>9</v>
      </c>
    </row>
    <row r="6" spans="2:11" x14ac:dyDescent="0.25">
      <c r="C6" s="1">
        <v>1</v>
      </c>
      <c r="D6" s="1">
        <v>0.28999999999999998</v>
      </c>
      <c r="E6">
        <f t="shared" ref="E6:E8" si="0">C6*C6</f>
        <v>1</v>
      </c>
      <c r="G6">
        <f t="shared" ref="G6:G8" si="1">C6*D6</f>
        <v>0.28999999999999998</v>
      </c>
      <c r="I6" t="s">
        <v>10</v>
      </c>
      <c r="J6" t="s">
        <v>11</v>
      </c>
    </row>
    <row r="7" spans="2:11" x14ac:dyDescent="0.25">
      <c r="C7" s="1">
        <v>2</v>
      </c>
      <c r="D7" s="1">
        <v>0.51600000000000001</v>
      </c>
      <c r="E7">
        <f t="shared" si="0"/>
        <v>4</v>
      </c>
      <c r="G7">
        <f t="shared" si="1"/>
        <v>1.032</v>
      </c>
      <c r="I7">
        <v>6</v>
      </c>
      <c r="J7">
        <v>0</v>
      </c>
      <c r="K7">
        <v>1.889</v>
      </c>
    </row>
    <row r="8" spans="2:11" x14ac:dyDescent="0.25">
      <c r="C8" s="1">
        <v>3</v>
      </c>
      <c r="D8" s="1">
        <v>1.083</v>
      </c>
      <c r="E8">
        <f t="shared" si="0"/>
        <v>9</v>
      </c>
      <c r="G8">
        <f t="shared" si="1"/>
        <v>3.2489999999999997</v>
      </c>
      <c r="I8">
        <v>14</v>
      </c>
      <c r="J8">
        <v>0</v>
      </c>
      <c r="K8">
        <v>4.5709999999999997</v>
      </c>
    </row>
    <row r="10" spans="2:11" x14ac:dyDescent="0.25">
      <c r="B10" s="2" t="s">
        <v>4</v>
      </c>
      <c r="C10" s="1">
        <f>SUM(C6:C8)</f>
        <v>6</v>
      </c>
      <c r="D10" s="1">
        <f>SUM(D6:D8)</f>
        <v>1.889</v>
      </c>
      <c r="E10" s="1">
        <f>SUM(E6:E8)</f>
        <v>14</v>
      </c>
      <c r="F10" s="1"/>
      <c r="G10" s="1">
        <f>SUM(G6:G8)</f>
        <v>4.5709999999999997</v>
      </c>
    </row>
    <row r="13" spans="2:11" x14ac:dyDescent="0.25">
      <c r="C13" s="1" t="s">
        <v>7</v>
      </c>
      <c r="D13" s="1">
        <f>D10/C10</f>
        <v>0.31483333333333335</v>
      </c>
      <c r="G13" s="3">
        <f>G10/E10</f>
        <v>0.32649999999999996</v>
      </c>
    </row>
    <row r="15" spans="2:11" x14ac:dyDescent="0.25">
      <c r="C15" s="1" t="s">
        <v>8</v>
      </c>
      <c r="D15" s="1">
        <f>G10/E10</f>
        <v>0.32649999999999996</v>
      </c>
    </row>
    <row r="17" spans="2:5" x14ac:dyDescent="0.25">
      <c r="C17" s="1" t="s">
        <v>8</v>
      </c>
      <c r="D17" s="1">
        <f>D10*D10/(G10)</f>
        <v>0.78064340406913157</v>
      </c>
    </row>
    <row r="20" spans="2:5" x14ac:dyDescent="0.25">
      <c r="C20" s="1">
        <f>C10/3</f>
        <v>2</v>
      </c>
      <c r="E20">
        <f>C21/C20</f>
        <v>0.31483333333333335</v>
      </c>
    </row>
    <row r="21" spans="2:5" x14ac:dyDescent="0.25">
      <c r="C21" s="1">
        <f>D10/3</f>
        <v>0.62966666666666671</v>
      </c>
    </row>
    <row r="24" spans="2:5" x14ac:dyDescent="0.25">
      <c r="C24" s="1" t="s">
        <v>12</v>
      </c>
    </row>
    <row r="26" spans="2:5" x14ac:dyDescent="0.25">
      <c r="B26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8"/>
  <sheetViews>
    <sheetView workbookViewId="0">
      <selection activeCell="L14" sqref="L14"/>
    </sheetView>
  </sheetViews>
  <sheetFormatPr defaultRowHeight="15" x14ac:dyDescent="0.25"/>
  <cols>
    <col min="1" max="1" width="13" customWidth="1"/>
    <col min="2" max="2" width="11.42578125" customWidth="1"/>
  </cols>
  <sheetData>
    <row r="4" spans="1:2" x14ac:dyDescent="0.25">
      <c r="A4" t="s">
        <v>1</v>
      </c>
      <c r="B4" t="s">
        <v>0</v>
      </c>
    </row>
    <row r="6" spans="1:2" x14ac:dyDescent="0.25">
      <c r="A6">
        <v>1</v>
      </c>
      <c r="B6">
        <v>0.28999999999999998</v>
      </c>
    </row>
    <row r="7" spans="1:2" x14ac:dyDescent="0.25">
      <c r="A7">
        <v>2</v>
      </c>
      <c r="B7">
        <v>0.51600000000000001</v>
      </c>
    </row>
    <row r="8" spans="1:2" x14ac:dyDescent="0.25">
      <c r="A8">
        <v>3</v>
      </c>
      <c r="B8">
        <v>1.083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Linear</vt:lpstr>
      <vt:lpstr>Plan1</vt:lpstr>
      <vt:lpstr>Lin-Log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Moreira</dc:creator>
  <cp:lastModifiedBy>Eduardo L. de Araujo</cp:lastModifiedBy>
  <dcterms:created xsi:type="dcterms:W3CDTF">2017-05-04T18:52:04Z</dcterms:created>
  <dcterms:modified xsi:type="dcterms:W3CDTF">2017-05-16T14:46:09Z</dcterms:modified>
</cp:coreProperties>
</file>